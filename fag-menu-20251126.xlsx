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cer\Desktop\Sole Zavalaga\Fagotto\Nueva carpeta\"/>
    </mc:Choice>
  </mc:AlternateContent>
  <bookViews>
    <workbookView xWindow="0" yWindow="0" windowWidth="20490" windowHeight="7050"/>
  </bookViews>
  <sheets>
    <sheet name="Productos" sheetId="1" r:id="rId1"/>
    <sheet name="Opcionales" sheetId="2" r:id="rId2"/>
  </sheets>
  <definedNames>
    <definedName name="py_fa_options_20251126" localSheetId="1">Opcionales!$A$2:$N$19</definedName>
    <definedName name="py_fa_products_20251126" localSheetId="0">Productos!$A$2:$M$16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6" i="1" l="1"/>
  <c r="E37" i="1"/>
</calcChain>
</file>

<file path=xl/connections.xml><?xml version="1.0" encoding="utf-8"?>
<connections xmlns="http://schemas.openxmlformats.org/spreadsheetml/2006/main">
  <connection id="1" name="py-fa-options-20251126" type="6" refreshedVersion="8" background="1" saveData="1">
    <textPr codePage="65001" sourceFile="/Users/luison/Downloads/py-fa-options-20251126.csv" decimal="," thousands="." tab="0" semicolon="1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name="py-fa-products-20251126" type="6" refreshedVersion="8" background="1" saveData="1">
    <textPr codePage="65001" sourceFile="/Users/luison/Downloads/py-fa-products-20251126.csv" decimal="," thousands="." tab="0" semicolon="1">
      <textFields count="13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<sst xmlns="http://schemas.openxmlformats.org/spreadsheetml/2006/main" count="338" uniqueCount="167">
  <si>
    <t>Combos</t>
  </si>
  <si>
    <t>Combo individual</t>
  </si>
  <si>
    <t>2.0</t>
  </si>
  <si>
    <t>Pasta y bebida de 350 ml a elegir.</t>
  </si>
  <si>
    <t>https://tb-static.uber.com/prod/image-proc/processed_images/3bb79d3d936054cc2c908b5d58d39b23/f0d1762b91fd823a1aa9bd0dab5c648d.jpeg</t>
  </si>
  <si>
    <t>Combo para 2</t>
  </si>
  <si>
    <t>15.0</t>
  </si>
  <si>
    <t>2 Pastas y 2 bebidas de 350 ml a elegir.</t>
  </si>
  <si>
    <t>https://tb-static.uber.com/prod/image-proc/processed_images/b9e0541d5e91b52ae92629edb74ee949/f0d1762b91fd823a1aa9bd0dab5c648d.jpeg</t>
  </si>
  <si>
    <t>Combo familiar</t>
  </si>
  <si>
    <t>28.0</t>
  </si>
  <si>
    <t>4 Pastas y 4 bebidas de 350 ml a elegir.</t>
  </si>
  <si>
    <t>https://tb-static.uber.com/prod/image-proc/processed_images/783c70459dc7fe10c5d8a57af889a4b9/f0d1762b91fd823a1aa9bd0dab5c648d.jpeg</t>
  </si>
  <si>
    <t>Combo individual 2 salsas</t>
  </si>
  <si>
    <t>Combo_individual_2_s</t>
  </si>
  <si>
    <t>Elige 2 salsas para tu pasta y 1 bebida de 350 ml.</t>
  </si>
  <si>
    <t>https://tb-static.uber.com/prod/image-proc/processed_images/d412f0aef9da2af389c21ec0eeb922de/f0d1762b91fd823a1aa9bd0dab5c648d.jpeg</t>
  </si>
  <si>
    <t>Pastas bigoli</t>
  </si>
  <si>
    <t>Pasta pesto</t>
  </si>
  <si>
    <t>42.0</t>
  </si>
  <si>
    <t>Pasta bigoli artesanal con salsa pesto.</t>
  </si>
  <si>
    <t>https://tb-static.uber.com/prod/image-proc/processed_images/d4eab2a1d67b1daa1ec996c0a13bd03d/f0d1762b91fd823a1aa9bd0dab5c648d.jpeg</t>
  </si>
  <si>
    <t>Pasta Alfredo</t>
  </si>
  <si>
    <t>44.0</t>
  </si>
  <si>
    <t>Pasta bigoli artesanal con salsa alfredo.</t>
  </si>
  <si>
    <t>https://tb-static.uber.com/prod/image-proc/processed_images/2e4792507f77e9d35e1eed97bdc2ea49/f0d1762b91fd823a1aa9bd0dab5c648d.jpeg</t>
  </si>
  <si>
    <t>Pasta boloñesa</t>
  </si>
  <si>
    <t>47.0</t>
  </si>
  <si>
    <t>Pasta bigoli artesanal con salsa boloñesa.</t>
  </si>
  <si>
    <t>https://tb-static.uber.com/prod/image-proc/processed_images/aaa51d1274c11bbb482a45a32fd28687/f0d1762b91fd823a1aa9bd0dab5c648d.jpeg</t>
  </si>
  <si>
    <t>Pasta champiñon</t>
  </si>
  <si>
    <t>48.0</t>
  </si>
  <si>
    <t>Pasta bigoli artesanal con champiñones.</t>
  </si>
  <si>
    <t>https://tb-static.uber.com/prod/image-proc/processed_images/ee5b174cc1e5c7ffcec0928abf0ff197/f0d1762b91fd823a1aa9bd0dab5c648d.jpeg</t>
  </si>
  <si>
    <t>Pasta Camarón</t>
  </si>
  <si>
    <t>Pasta_Camarón</t>
  </si>
  <si>
    <t>Pasta bigoli, salsa blanca con camarones</t>
  </si>
  <si>
    <t>https://tb-static.uber.com/prod/image-proc/processed_images/0417e907f88ae03ebf9aa7a34f8ae5d2/f0d1762b91fd823a1aa9bd0dab5c648d.jpeg</t>
  </si>
  <si>
    <t>Pasta Pollo Mostaza</t>
  </si>
  <si>
    <t>Pasta_Pollo_Mostaza</t>
  </si>
  <si>
    <t>Pollo, crema, mostaza.</t>
  </si>
  <si>
    <t>https://tb-static.uber.com/prod/image-proc/processed_images/530fa8cb5613d07de3a5069b8f661005/f0d1762b91fd823a1aa9bd0dab5c648d.jpeg</t>
  </si>
  <si>
    <t>Bebidas</t>
  </si>
  <si>
    <t>Coca-Cola Original</t>
  </si>
  <si>
    <t>56.0</t>
  </si>
  <si>
    <t>350 ml.</t>
  </si>
  <si>
    <t>https://tb-static.uber.com/prod/image-proc/processed_images/7d6bb40d97275d6b381f6f9c66fff4cf/7f4ae9ca0446cbc23e71d8d395a98428.jpeg</t>
  </si>
  <si>
    <t>Sprite Original</t>
  </si>
  <si>
    <t>57.0</t>
  </si>
  <si>
    <t>https://tb-static.uber.com/prod/image-proc/processed_images/901d987e535883f799ca45f8e3fbbfb5/7f4ae9ca0446cbc23e71d8d395a98428.jpeg</t>
  </si>
  <si>
    <t>Sprite Sin azucar</t>
  </si>
  <si>
    <t>58.0</t>
  </si>
  <si>
    <t>https://tb-static.uber.com/prod/image-proc/processed_images/6584afc99aa05494c5a9c59de3a85e25/7f4ae9ca0446cbc23e71d8d395a98428.jpeg</t>
  </si>
  <si>
    <t>Sándwich</t>
  </si>
  <si>
    <t>Focaccia pesto</t>
  </si>
  <si>
    <t>Focaccia_pesto</t>
  </si>
  <si>
    <t>Pan artesanal, pesto, pomodoro, jamón y queso</t>
  </si>
  <si>
    <t>https://tb-static.uber.com/prod/image-proc/processed_images/80bd20a0b0e62aeecd493b9f0b41010c/f0d1762b91fd823a1aa9bd0dab5c648d.jpeg</t>
  </si>
  <si>
    <t>Focaccia salame</t>
  </si>
  <si>
    <t>Focaccia_salame</t>
  </si>
  <si>
    <t>Pan artesanal, queso crema y salame</t>
  </si>
  <si>
    <t>https://tb-static.uber.com/prod/image-proc/processed_images/aca7d90bfa713b0eb635f60d95b9e1d2/f0d1762b91fd823a1aa9bd0dab5c648d.jpeg</t>
  </si>
  <si>
    <t>Sección</t>
  </si>
  <si>
    <t>SKU Sección</t>
  </si>
  <si>
    <t>SKU Name Sección</t>
  </si>
  <si>
    <t>Nombre</t>
  </si>
  <si>
    <t>Precio</t>
  </si>
  <si>
    <t>SKU</t>
  </si>
  <si>
    <t>SKU Name</t>
  </si>
  <si>
    <t>Descripción</t>
  </si>
  <si>
    <t>Imagen</t>
  </si>
  <si>
    <t>ID</t>
  </si>
  <si>
    <t>GTIN</t>
  </si>
  <si>
    <t>Indice</t>
  </si>
  <si>
    <t>Elige tu pasta</t>
  </si>
  <si>
    <t>Pasta mixta boloñesa y Alfredo</t>
  </si>
  <si>
    <t>6.0</t>
  </si>
  <si>
    <t>8.0</t>
  </si>
  <si>
    <t>Elige sabor de tu bebida</t>
  </si>
  <si>
    <t>Coca-Cola Sin Azúcar 350 ml</t>
  </si>
  <si>
    <t>11.0</t>
  </si>
  <si>
    <t>Coca-Cola Original 350 ml</t>
  </si>
  <si>
    <t>12.0</t>
  </si>
  <si>
    <t>Coca-Cola Light 350 ml</t>
  </si>
  <si>
    <t>13.0</t>
  </si>
  <si>
    <t>Pasta mixta boloñesa y pesto</t>
  </si>
  <si>
    <t>17.0</t>
  </si>
  <si>
    <t>Pasta mixta Alfredo y pesto</t>
  </si>
  <si>
    <t>20.0</t>
  </si>
  <si>
    <t>22.0</t>
  </si>
  <si>
    <t>24.0</t>
  </si>
  <si>
    <t>26.0</t>
  </si>
  <si>
    <t>34.0</t>
  </si>
  <si>
    <t>37.0</t>
  </si>
  <si>
    <t>38.0</t>
  </si>
  <si>
    <t>39.0</t>
  </si>
  <si>
    <t>Sprite 350 ml</t>
  </si>
  <si>
    <t>40.0</t>
  </si>
  <si>
    <t>SKU Producto</t>
  </si>
  <si>
    <t>Grupo de opciones</t>
  </si>
  <si>
    <t>SKU Grupo de opciones</t>
  </si>
  <si>
    <t>SKU Nombre Grupo de opciones</t>
  </si>
  <si>
    <t>Cantidad Grupo de opciones</t>
  </si>
  <si>
    <t>Cantidad mínima Grupo de opciones</t>
  </si>
  <si>
    <t>Cantidad máxima Grupo de opciones</t>
  </si>
  <si>
    <t>Nombre Opción</t>
  </si>
  <si>
    <t>SKU Nombre</t>
  </si>
  <si>
    <t>Modifica precio</t>
  </si>
  <si>
    <t>Nombre Producto</t>
  </si>
  <si>
    <t>2 Pastas a eleccion + 2 bebida</t>
  </si>
  <si>
    <t>Pasta</t>
  </si>
  <si>
    <t>Para compartir</t>
  </si>
  <si>
    <t>Pasta Bigoli + Bebida Lata</t>
  </si>
  <si>
    <t>Pasta Fettuccine + Bebida Lata</t>
  </si>
  <si>
    <t>Noquis 1 Salsa + Bebida Lata</t>
  </si>
  <si>
    <t>Noquis Fritos 1 Salsa + Bebida Lata</t>
  </si>
  <si>
    <t>Eligie 1 salsa de las 5 opciones</t>
  </si>
  <si>
    <t xml:space="preserve">Eligie 1 salsa de las 5 opciones+ elige 1 bebida de las 4 </t>
  </si>
  <si>
    <t>Pasta Bogoli 1 Salsa</t>
  </si>
  <si>
    <t>Pastas Fettuccini 1 Salsa</t>
  </si>
  <si>
    <t>Noquis  1 Salsa</t>
  </si>
  <si>
    <t>Noquis Fritos 1 Salsa</t>
  </si>
  <si>
    <t>Pasta Bogoli 2 Salsa</t>
  </si>
  <si>
    <t>Pastas Fettuccini 2 Salsa</t>
  </si>
  <si>
    <t>Noquis  2 Salsa</t>
  </si>
  <si>
    <t>Noquis Fritos 2 Salsa</t>
  </si>
  <si>
    <t>Eligie 2 salsa de las 5 opciones</t>
  </si>
  <si>
    <t>3 Pastas a eleccion + Bebida Familiar 1,5 Lt</t>
  </si>
  <si>
    <t>4 Pastas a eleccion + Bebida Familiar</t>
  </si>
  <si>
    <t>3 Pastas a eleccion + 1 bebida</t>
  </si>
  <si>
    <t>4 Pastas a eleccion + 1 bebida</t>
  </si>
  <si>
    <t>Pasta Bigoli 2 Salsas + Bebida Lata</t>
  </si>
  <si>
    <t>Pasta Fettuccine 2 Salsa + Bebida Lata</t>
  </si>
  <si>
    <t>Noquis 2 Salsa + Bebida Lata</t>
  </si>
  <si>
    <t>Noquis Fritos 2 Salsa + Bebida Lata</t>
  </si>
  <si>
    <t>Sandwichis</t>
  </si>
  <si>
    <t>Ciabatta Pesto</t>
  </si>
  <si>
    <t>Ciabatta Pollo</t>
  </si>
  <si>
    <t>Ciabatta Salami</t>
  </si>
  <si>
    <t>Ciabatta Alleato</t>
  </si>
  <si>
    <t>Pan de masa madre con pollo grillado y pimentón asado.</t>
  </si>
  <si>
    <t>Pan de masa madre artesanal de parmesano, albahaca, tomate cherry y mozzarella.</t>
  </si>
  <si>
    <t>Pan de masa madre con salami italiano, queso crema y tomate seco.</t>
  </si>
  <si>
    <t>Pan de masa madre con jamón serrano y queso manchego.</t>
  </si>
  <si>
    <t xml:space="preserve">Eligie 2 salsa de las 5 opciones+ elige 1 bebida de las 4 </t>
  </si>
  <si>
    <t>Family Party</t>
  </si>
  <si>
    <t>Fontana 2 Salsa</t>
  </si>
  <si>
    <t>Fontana 2 Salsas + Bebida Familiar</t>
  </si>
  <si>
    <t>2 pastas a eleccion +2 ciabatta + Bebida Familiar</t>
  </si>
  <si>
    <t>2 Ciabattas+ 1 Noquis frito + 2 Pastas</t>
  </si>
  <si>
    <t>Ciabatta Pollo + Bebida Lata</t>
  </si>
  <si>
    <t>Ciabatta Pesto + Bebida Lata</t>
  </si>
  <si>
    <t>Ciabatta Salami + Bebida Lata</t>
  </si>
  <si>
    <t>Ciabatta Alleato + Bebida Lata</t>
  </si>
  <si>
    <t>Salsa Boleñosa tradicional</t>
  </si>
  <si>
    <t>Salsa Bechamel con Jamón</t>
  </si>
  <si>
    <t>Pesto de Albaca, Queso y Mani</t>
  </si>
  <si>
    <t>Salsa Bechamel con Camarones</t>
  </si>
  <si>
    <t>Salsa Bechamel con Champiñones</t>
  </si>
  <si>
    <t>Salsa Bechamel con Pollo y mostaza</t>
  </si>
  <si>
    <t>Pepsi Original 350 ml</t>
  </si>
  <si>
    <t>Pepsi Zero 350 ml</t>
  </si>
  <si>
    <t>7up 350 ml</t>
  </si>
  <si>
    <t>Cruchs 350 ml</t>
  </si>
  <si>
    <t>Elige tu salsa</t>
  </si>
  <si>
    <t>Fettuccini</t>
  </si>
  <si>
    <t>Bigoli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</si>
</sst>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 * #,##0_ ;_ * \-#,##0_ ;_ * &quot;-&quot;_ ;_ @_ "/>
  </numFmts>
  <fonts count="3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1" fontId="2" fillId="0" borderId="0" applyFon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1" fontId="1" fillId="0" borderId="0" xfId="1" applyFont="1" applyAlignment="1">
      <alignment horizontal="center"/>
    </xf>
    <xf numFmtId="41" fontId="0" fillId="0" borderId="0" xfId="1" applyFont="1"/>
  </cellXfs>
  <cellStyles count="2">
    <cellStyle name="Millares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py-fa-products-20251126" connectionId="2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py-fa-options-20251126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9"/>
  <sheetViews>
    <sheetView tabSelected="1" topLeftCell="A25" zoomScale="80" zoomScaleNormal="80" workbookViewId="0">
      <selection activeCell="E50" sqref="E50"/>
    </sheetView>
  </sheetViews>
  <sheetFormatPr baseColWidth="10" defaultRowHeight="15"/>
  <cols>
    <col min="1" max="1" width="12.5546875" bestFit="1" customWidth="1"/>
    <col min="2" max="3" width="9" bestFit="1" customWidth="1"/>
    <col min="4" max="4" width="41.77734375" bestFit="1" customWidth="1"/>
    <col min="5" max="5" width="7.44140625" style="5" bestFit="1" customWidth="1"/>
    <col min="6" max="6" width="19.33203125" bestFit="1" customWidth="1"/>
    <col min="8" max="8" width="40.109375" bestFit="1" customWidth="1"/>
    <col min="9" max="9" width="123.6640625" bestFit="1" customWidth="1"/>
    <col min="12" max="12" width="6.109375" bestFit="1" customWidth="1"/>
    <col min="13" max="13" width="5.44140625" bestFit="1" customWidth="1"/>
  </cols>
  <sheetData>
    <row r="1" spans="1:12" s="2" customFormat="1" ht="15.75">
      <c r="A1" s="1" t="s">
        <v>62</v>
      </c>
      <c r="B1" s="1" t="s">
        <v>63</v>
      </c>
      <c r="C1" s="1" t="s">
        <v>64</v>
      </c>
      <c r="D1" s="1" t="s">
        <v>65</v>
      </c>
      <c r="E1" s="4" t="s">
        <v>66</v>
      </c>
      <c r="F1" s="1" t="s">
        <v>67</v>
      </c>
      <c r="G1" s="1" t="s">
        <v>68</v>
      </c>
      <c r="H1" s="2" t="s">
        <v>69</v>
      </c>
      <c r="I1" s="2" t="s">
        <v>70</v>
      </c>
      <c r="J1" s="2" t="s">
        <v>71</v>
      </c>
      <c r="K1" s="2" t="s">
        <v>72</v>
      </c>
      <c r="L1" s="2" t="s">
        <v>73</v>
      </c>
    </row>
    <row r="2" spans="1:12">
      <c r="A2" t="s">
        <v>0</v>
      </c>
      <c r="B2">
        <v>1</v>
      </c>
      <c r="C2">
        <v>1</v>
      </c>
      <c r="D2" t="s">
        <v>1</v>
      </c>
      <c r="E2" s="5">
        <v>7550</v>
      </c>
      <c r="F2" t="s">
        <v>2</v>
      </c>
      <c r="H2" t="s">
        <v>3</v>
      </c>
      <c r="I2" t="s">
        <v>4</v>
      </c>
      <c r="L2">
        <v>1</v>
      </c>
    </row>
    <row r="3" spans="1:12">
      <c r="A3" t="s">
        <v>0</v>
      </c>
      <c r="B3">
        <v>1</v>
      </c>
      <c r="C3">
        <v>1</v>
      </c>
      <c r="D3" t="s">
        <v>5</v>
      </c>
      <c r="E3" s="5">
        <v>15090</v>
      </c>
      <c r="F3" t="s">
        <v>6</v>
      </c>
      <c r="H3" t="s">
        <v>7</v>
      </c>
      <c r="I3" t="s">
        <v>8</v>
      </c>
      <c r="L3">
        <v>2</v>
      </c>
    </row>
    <row r="4" spans="1:12">
      <c r="A4" t="s">
        <v>0</v>
      </c>
      <c r="B4">
        <v>1</v>
      </c>
      <c r="C4">
        <v>1</v>
      </c>
      <c r="D4" t="s">
        <v>9</v>
      </c>
      <c r="E4" s="5">
        <v>30190</v>
      </c>
      <c r="F4" t="s">
        <v>10</v>
      </c>
      <c r="H4" t="s">
        <v>11</v>
      </c>
      <c r="I4" t="s">
        <v>12</v>
      </c>
      <c r="L4">
        <v>3</v>
      </c>
    </row>
    <row r="5" spans="1:12">
      <c r="A5" t="s">
        <v>0</v>
      </c>
      <c r="B5">
        <v>1</v>
      </c>
      <c r="C5">
        <v>1</v>
      </c>
      <c r="D5" t="s">
        <v>13</v>
      </c>
      <c r="E5" s="5">
        <v>8430</v>
      </c>
      <c r="F5" t="s">
        <v>14</v>
      </c>
      <c r="H5" t="s">
        <v>15</v>
      </c>
      <c r="I5" t="s">
        <v>16</v>
      </c>
      <c r="L5">
        <v>4</v>
      </c>
    </row>
    <row r="6" spans="1:12">
      <c r="A6" t="s">
        <v>17</v>
      </c>
      <c r="B6">
        <v>41</v>
      </c>
      <c r="C6">
        <v>41</v>
      </c>
      <c r="D6" t="s">
        <v>18</v>
      </c>
      <c r="E6" s="5">
        <v>6290</v>
      </c>
      <c r="F6" t="s">
        <v>19</v>
      </c>
      <c r="H6" t="s">
        <v>20</v>
      </c>
      <c r="I6" t="s">
        <v>21</v>
      </c>
      <c r="L6">
        <v>1</v>
      </c>
    </row>
    <row r="7" spans="1:12">
      <c r="A7" t="s">
        <v>17</v>
      </c>
      <c r="B7">
        <v>41</v>
      </c>
      <c r="C7">
        <v>41</v>
      </c>
      <c r="D7" t="s">
        <v>22</v>
      </c>
      <c r="E7" s="5">
        <v>6290</v>
      </c>
      <c r="F7" t="s">
        <v>23</v>
      </c>
      <c r="H7" t="s">
        <v>24</v>
      </c>
      <c r="I7" t="s">
        <v>25</v>
      </c>
      <c r="L7">
        <v>2</v>
      </c>
    </row>
    <row r="8" spans="1:12">
      <c r="A8" t="s">
        <v>17</v>
      </c>
      <c r="B8">
        <v>41</v>
      </c>
      <c r="C8">
        <v>41</v>
      </c>
      <c r="D8" t="s">
        <v>26</v>
      </c>
      <c r="E8" s="5">
        <v>6290</v>
      </c>
      <c r="F8" t="s">
        <v>27</v>
      </c>
      <c r="H8" t="s">
        <v>28</v>
      </c>
      <c r="I8" t="s">
        <v>29</v>
      </c>
      <c r="L8">
        <v>3</v>
      </c>
    </row>
    <row r="9" spans="1:12">
      <c r="A9" t="s">
        <v>17</v>
      </c>
      <c r="B9">
        <v>41</v>
      </c>
      <c r="C9">
        <v>41</v>
      </c>
      <c r="D9" t="s">
        <v>30</v>
      </c>
      <c r="E9" s="5">
        <v>6290</v>
      </c>
      <c r="F9" t="s">
        <v>31</v>
      </c>
      <c r="H9" t="s">
        <v>32</v>
      </c>
      <c r="I9" t="s">
        <v>33</v>
      </c>
      <c r="L9">
        <v>4</v>
      </c>
    </row>
    <row r="10" spans="1:12">
      <c r="A10" t="s">
        <v>17</v>
      </c>
      <c r="B10">
        <v>41</v>
      </c>
      <c r="C10">
        <v>41</v>
      </c>
      <c r="D10" t="s">
        <v>34</v>
      </c>
      <c r="E10" s="5">
        <v>6290</v>
      </c>
      <c r="F10" t="s">
        <v>35</v>
      </c>
      <c r="H10" t="s">
        <v>36</v>
      </c>
      <c r="I10" t="s">
        <v>37</v>
      </c>
      <c r="L10">
        <v>5</v>
      </c>
    </row>
    <row r="11" spans="1:12">
      <c r="A11" t="s">
        <v>17</v>
      </c>
      <c r="B11">
        <v>41</v>
      </c>
      <c r="C11">
        <v>41</v>
      </c>
      <c r="D11" t="s">
        <v>38</v>
      </c>
      <c r="E11" s="5">
        <v>6290</v>
      </c>
      <c r="F11" t="s">
        <v>39</v>
      </c>
      <c r="H11" t="s">
        <v>40</v>
      </c>
      <c r="I11" t="s">
        <v>41</v>
      </c>
      <c r="L11">
        <v>6</v>
      </c>
    </row>
    <row r="12" spans="1:12">
      <c r="A12" t="s">
        <v>42</v>
      </c>
      <c r="B12">
        <v>55</v>
      </c>
      <c r="C12">
        <v>55</v>
      </c>
      <c r="D12" t="s">
        <v>43</v>
      </c>
      <c r="E12" s="5">
        <v>2800</v>
      </c>
      <c r="F12" t="s">
        <v>44</v>
      </c>
      <c r="H12" t="s">
        <v>45</v>
      </c>
      <c r="I12" t="s">
        <v>46</v>
      </c>
      <c r="L12">
        <v>1</v>
      </c>
    </row>
    <row r="13" spans="1:12">
      <c r="A13" t="s">
        <v>42</v>
      </c>
      <c r="B13">
        <v>55</v>
      </c>
      <c r="C13">
        <v>55</v>
      </c>
      <c r="D13" t="s">
        <v>47</v>
      </c>
      <c r="E13" s="5">
        <v>2800</v>
      </c>
      <c r="F13" t="s">
        <v>48</v>
      </c>
      <c r="H13" t="s">
        <v>45</v>
      </c>
      <c r="I13" t="s">
        <v>49</v>
      </c>
      <c r="L13">
        <v>2</v>
      </c>
    </row>
    <row r="14" spans="1:12">
      <c r="A14" t="s">
        <v>42</v>
      </c>
      <c r="B14">
        <v>55</v>
      </c>
      <c r="C14">
        <v>55</v>
      </c>
      <c r="D14" t="s">
        <v>50</v>
      </c>
      <c r="E14" s="5">
        <v>2800</v>
      </c>
      <c r="F14" t="s">
        <v>51</v>
      </c>
      <c r="H14" t="s">
        <v>45</v>
      </c>
      <c r="I14" t="s">
        <v>52</v>
      </c>
      <c r="L14">
        <v>3</v>
      </c>
    </row>
    <row r="15" spans="1:12">
      <c r="A15" t="s">
        <v>53</v>
      </c>
      <c r="B15" t="s">
        <v>53</v>
      </c>
      <c r="C15" t="s">
        <v>53</v>
      </c>
      <c r="D15" t="s">
        <v>54</v>
      </c>
      <c r="E15" s="5">
        <v>3770</v>
      </c>
      <c r="F15" t="s">
        <v>55</v>
      </c>
      <c r="H15" t="s">
        <v>56</v>
      </c>
      <c r="I15" t="s">
        <v>57</v>
      </c>
      <c r="L15">
        <v>1</v>
      </c>
    </row>
    <row r="16" spans="1:12">
      <c r="A16" t="s">
        <v>53</v>
      </c>
      <c r="B16" t="s">
        <v>53</v>
      </c>
      <c r="C16" t="s">
        <v>53</v>
      </c>
      <c r="D16" t="s">
        <v>58</v>
      </c>
      <c r="E16" s="5">
        <v>3770</v>
      </c>
      <c r="F16" t="s">
        <v>59</v>
      </c>
      <c r="H16" t="s">
        <v>60</v>
      </c>
      <c r="I16" t="s">
        <v>61</v>
      </c>
      <c r="L16">
        <v>2</v>
      </c>
    </row>
    <row r="19" spans="1:8">
      <c r="A19" t="s">
        <v>110</v>
      </c>
      <c r="D19" t="s">
        <v>118</v>
      </c>
      <c r="E19" s="5">
        <v>5990</v>
      </c>
      <c r="H19" s="3" t="s">
        <v>116</v>
      </c>
    </row>
    <row r="20" spans="1:8">
      <c r="A20" t="s">
        <v>110</v>
      </c>
      <c r="D20" t="s">
        <v>119</v>
      </c>
      <c r="E20" s="5">
        <v>5990</v>
      </c>
      <c r="H20" s="3" t="s">
        <v>116</v>
      </c>
    </row>
    <row r="21" spans="1:8">
      <c r="A21" t="s">
        <v>110</v>
      </c>
      <c r="D21" t="s">
        <v>120</v>
      </c>
      <c r="E21" s="5">
        <v>5990</v>
      </c>
      <c r="H21" s="3" t="s">
        <v>116</v>
      </c>
    </row>
    <row r="22" spans="1:8">
      <c r="A22" t="s">
        <v>110</v>
      </c>
      <c r="D22" t="s">
        <v>121</v>
      </c>
      <c r="E22" s="5">
        <v>5990</v>
      </c>
      <c r="H22" s="3" t="s">
        <v>116</v>
      </c>
    </row>
    <row r="23" spans="1:8">
      <c r="A23" t="s">
        <v>110</v>
      </c>
      <c r="D23" t="s">
        <v>122</v>
      </c>
      <c r="E23" s="5">
        <v>6390</v>
      </c>
      <c r="H23" s="3" t="s">
        <v>126</v>
      </c>
    </row>
    <row r="24" spans="1:8">
      <c r="A24" t="s">
        <v>110</v>
      </c>
      <c r="D24" t="s">
        <v>123</v>
      </c>
      <c r="E24" s="5">
        <v>6390</v>
      </c>
      <c r="H24" s="3" t="s">
        <v>126</v>
      </c>
    </row>
    <row r="25" spans="1:8">
      <c r="A25" t="s">
        <v>110</v>
      </c>
      <c r="D25" t="s">
        <v>124</v>
      </c>
      <c r="E25" s="5">
        <v>6390</v>
      </c>
      <c r="H25" s="3" t="s">
        <v>126</v>
      </c>
    </row>
    <row r="26" spans="1:8">
      <c r="A26" t="s">
        <v>110</v>
      </c>
      <c r="D26" t="s">
        <v>125</v>
      </c>
      <c r="E26" s="5">
        <v>6390</v>
      </c>
      <c r="H26" s="3" t="s">
        <v>126</v>
      </c>
    </row>
    <row r="27" spans="1:8">
      <c r="A27" t="s">
        <v>0</v>
      </c>
      <c r="D27" t="s">
        <v>112</v>
      </c>
      <c r="E27" s="5">
        <v>6990</v>
      </c>
      <c r="H27" s="3" t="s">
        <v>117</v>
      </c>
    </row>
    <row r="28" spans="1:8">
      <c r="A28" t="s">
        <v>0</v>
      </c>
      <c r="D28" t="s">
        <v>113</v>
      </c>
      <c r="E28" s="5">
        <v>6990</v>
      </c>
      <c r="H28" s="3" t="s">
        <v>117</v>
      </c>
    </row>
    <row r="29" spans="1:8">
      <c r="A29" t="s">
        <v>0</v>
      </c>
      <c r="D29" t="s">
        <v>114</v>
      </c>
      <c r="E29" s="5">
        <v>6990</v>
      </c>
      <c r="H29" s="3" t="s">
        <v>117</v>
      </c>
    </row>
    <row r="30" spans="1:8">
      <c r="A30" t="s">
        <v>0</v>
      </c>
      <c r="D30" t="s">
        <v>115</v>
      </c>
      <c r="E30" s="5">
        <v>6990</v>
      </c>
      <c r="H30" s="3" t="s">
        <v>117</v>
      </c>
    </row>
    <row r="31" spans="1:8">
      <c r="A31" t="s">
        <v>0</v>
      </c>
      <c r="D31" t="s">
        <v>131</v>
      </c>
      <c r="E31" s="5">
        <v>7290</v>
      </c>
      <c r="H31" s="3" t="s">
        <v>144</v>
      </c>
    </row>
    <row r="32" spans="1:8">
      <c r="A32" t="s">
        <v>0</v>
      </c>
      <c r="D32" t="s">
        <v>132</v>
      </c>
      <c r="E32" s="5">
        <v>7290</v>
      </c>
      <c r="H32" s="3" t="s">
        <v>144</v>
      </c>
    </row>
    <row r="33" spans="1:8">
      <c r="A33" t="s">
        <v>0</v>
      </c>
      <c r="D33" t="s">
        <v>133</v>
      </c>
      <c r="E33" s="5">
        <v>7290</v>
      </c>
      <c r="H33" s="3" t="s">
        <v>144</v>
      </c>
    </row>
    <row r="34" spans="1:8">
      <c r="A34" t="s">
        <v>0</v>
      </c>
      <c r="D34" t="s">
        <v>134</v>
      </c>
      <c r="E34" s="5">
        <v>7290</v>
      </c>
      <c r="H34" s="3" t="s">
        <v>144</v>
      </c>
    </row>
    <row r="35" spans="1:8">
      <c r="A35" t="s">
        <v>111</v>
      </c>
      <c r="D35" s="3" t="s">
        <v>109</v>
      </c>
      <c r="E35" s="5">
        <v>13480</v>
      </c>
      <c r="H35" s="3" t="s">
        <v>109</v>
      </c>
    </row>
    <row r="36" spans="1:8">
      <c r="A36" t="s">
        <v>111</v>
      </c>
      <c r="D36" s="3" t="s">
        <v>127</v>
      </c>
      <c r="E36" s="5">
        <f>13480+6990</f>
        <v>20470</v>
      </c>
      <c r="H36" s="3" t="s">
        <v>129</v>
      </c>
    </row>
    <row r="37" spans="1:8">
      <c r="A37" t="s">
        <v>111</v>
      </c>
      <c r="D37" s="3" t="s">
        <v>128</v>
      </c>
      <c r="E37" s="5">
        <f>13480*2</f>
        <v>26960</v>
      </c>
      <c r="H37" s="3" t="s">
        <v>130</v>
      </c>
    </row>
    <row r="38" spans="1:8">
      <c r="A38" t="s">
        <v>135</v>
      </c>
      <c r="D38" s="3" t="s">
        <v>136</v>
      </c>
      <c r="E38" s="5">
        <v>2990</v>
      </c>
      <c r="H38" t="s">
        <v>141</v>
      </c>
    </row>
    <row r="39" spans="1:8">
      <c r="A39" t="s">
        <v>135</v>
      </c>
      <c r="D39" s="3" t="s">
        <v>137</v>
      </c>
      <c r="E39" s="5">
        <v>2990</v>
      </c>
      <c r="H39" t="s">
        <v>140</v>
      </c>
    </row>
    <row r="40" spans="1:8">
      <c r="A40" t="s">
        <v>135</v>
      </c>
      <c r="D40" s="3" t="s">
        <v>138</v>
      </c>
      <c r="E40" s="5">
        <v>2990</v>
      </c>
      <c r="H40" t="s">
        <v>142</v>
      </c>
    </row>
    <row r="41" spans="1:8">
      <c r="A41" t="s">
        <v>135</v>
      </c>
      <c r="D41" s="3" t="s">
        <v>139</v>
      </c>
      <c r="E41" s="5">
        <v>2990</v>
      </c>
      <c r="H41" t="s">
        <v>143</v>
      </c>
    </row>
    <row r="42" spans="1:8">
      <c r="A42" t="s">
        <v>135</v>
      </c>
      <c r="D42" s="3" t="s">
        <v>151</v>
      </c>
      <c r="E42" s="5">
        <v>3990</v>
      </c>
      <c r="H42" t="s">
        <v>141</v>
      </c>
    </row>
    <row r="43" spans="1:8">
      <c r="A43" t="s">
        <v>135</v>
      </c>
      <c r="D43" s="3" t="s">
        <v>150</v>
      </c>
      <c r="E43" s="5">
        <v>3990</v>
      </c>
      <c r="H43" t="s">
        <v>140</v>
      </c>
    </row>
    <row r="44" spans="1:8">
      <c r="A44" t="s">
        <v>135</v>
      </c>
      <c r="D44" s="3" t="s">
        <v>152</v>
      </c>
      <c r="E44" s="5">
        <v>3990</v>
      </c>
      <c r="H44" t="s">
        <v>142</v>
      </c>
    </row>
    <row r="45" spans="1:8">
      <c r="A45" t="s">
        <v>135</v>
      </c>
      <c r="D45" s="3" t="s">
        <v>153</v>
      </c>
      <c r="E45" s="5">
        <v>3990</v>
      </c>
      <c r="H45" t="s">
        <v>143</v>
      </c>
    </row>
    <row r="46" spans="1:8">
      <c r="A46" t="s">
        <v>145</v>
      </c>
      <c r="D46" s="3" t="s">
        <v>146</v>
      </c>
      <c r="E46" s="5">
        <v>7590</v>
      </c>
    </row>
    <row r="47" spans="1:8">
      <c r="A47" t="s">
        <v>145</v>
      </c>
      <c r="D47" s="3" t="s">
        <v>147</v>
      </c>
      <c r="E47" s="5">
        <v>9900</v>
      </c>
    </row>
    <row r="48" spans="1:8">
      <c r="A48" t="s">
        <v>145</v>
      </c>
      <c r="D48" s="3" t="s">
        <v>148</v>
      </c>
      <c r="E48" s="5">
        <v>16990</v>
      </c>
    </row>
    <row r="49" spans="1:5">
      <c r="A49" t="s">
        <v>145</v>
      </c>
      <c r="D49" s="3" t="s">
        <v>149</v>
      </c>
      <c r="E49" s="5">
        <v>10990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3"/>
  <sheetViews>
    <sheetView topLeftCell="A20" workbookViewId="0">
      <selection activeCell="H35" sqref="H35"/>
    </sheetView>
  </sheetViews>
  <sheetFormatPr baseColWidth="10" defaultRowHeight="15"/>
  <cols>
    <col min="1" max="1" width="19.33203125" bestFit="1" customWidth="1"/>
    <col min="2" max="2" width="20.109375" bestFit="1" customWidth="1"/>
    <col min="3" max="3" width="3.109375" bestFit="1" customWidth="1"/>
    <col min="4" max="4" width="20.109375" bestFit="1" customWidth="1"/>
    <col min="5" max="7" width="2.109375" bestFit="1" customWidth="1"/>
    <col min="8" max="8" width="25.77734375" bestFit="1" customWidth="1"/>
    <col min="9" max="9" width="2.109375" bestFit="1" customWidth="1"/>
    <col min="10" max="10" width="4.6640625" bestFit="1" customWidth="1"/>
    <col min="12" max="13" width="2.109375" bestFit="1" customWidth="1"/>
    <col min="14" max="14" width="22.109375" bestFit="1" customWidth="1"/>
  </cols>
  <sheetData>
    <row r="1" spans="1:14">
      <c r="A1" t="s">
        <v>98</v>
      </c>
      <c r="B1" t="s">
        <v>99</v>
      </c>
      <c r="C1" t="s">
        <v>100</v>
      </c>
      <c r="D1" t="s">
        <v>101</v>
      </c>
      <c r="E1" t="s">
        <v>102</v>
      </c>
      <c r="F1" t="s">
        <v>103</v>
      </c>
      <c r="G1" t="s">
        <v>104</v>
      </c>
      <c r="H1" t="s">
        <v>105</v>
      </c>
      <c r="I1" t="s">
        <v>66</v>
      </c>
      <c r="J1" t="s">
        <v>67</v>
      </c>
      <c r="K1" t="s">
        <v>106</v>
      </c>
      <c r="L1" t="s">
        <v>107</v>
      </c>
      <c r="M1" t="s">
        <v>73</v>
      </c>
      <c r="N1" s="3" t="s">
        <v>108</v>
      </c>
    </row>
    <row r="2" spans="1:14">
      <c r="A2" t="s">
        <v>2</v>
      </c>
      <c r="B2" t="s">
        <v>74</v>
      </c>
      <c r="C2">
        <v>3</v>
      </c>
      <c r="D2" t="s">
        <v>74</v>
      </c>
      <c r="E2">
        <v>1</v>
      </c>
      <c r="F2">
        <v>1</v>
      </c>
      <c r="G2">
        <v>1</v>
      </c>
      <c r="H2" t="s">
        <v>75</v>
      </c>
      <c r="I2">
        <v>0</v>
      </c>
      <c r="J2" t="s">
        <v>76</v>
      </c>
      <c r="L2">
        <v>0</v>
      </c>
      <c r="M2">
        <v>1</v>
      </c>
      <c r="N2" t="s">
        <v>1</v>
      </c>
    </row>
    <row r="3" spans="1:14">
      <c r="A3" t="s">
        <v>2</v>
      </c>
      <c r="B3" t="s">
        <v>74</v>
      </c>
      <c r="C3">
        <v>3</v>
      </c>
      <c r="D3" t="s">
        <v>74</v>
      </c>
      <c r="E3">
        <v>1</v>
      </c>
      <c r="F3">
        <v>1</v>
      </c>
      <c r="G3">
        <v>1</v>
      </c>
      <c r="H3" t="s">
        <v>18</v>
      </c>
      <c r="I3">
        <v>0</v>
      </c>
      <c r="J3" t="s">
        <v>77</v>
      </c>
      <c r="L3">
        <v>0</v>
      </c>
      <c r="M3">
        <v>2</v>
      </c>
      <c r="N3" t="s">
        <v>1</v>
      </c>
    </row>
    <row r="4" spans="1:14">
      <c r="A4" t="s">
        <v>2</v>
      </c>
      <c r="B4" t="s">
        <v>78</v>
      </c>
      <c r="C4">
        <v>10</v>
      </c>
      <c r="D4" t="s">
        <v>78</v>
      </c>
      <c r="E4">
        <v>1</v>
      </c>
      <c r="F4">
        <v>1</v>
      </c>
      <c r="G4">
        <v>1</v>
      </c>
      <c r="H4" t="s">
        <v>79</v>
      </c>
      <c r="I4">
        <v>0</v>
      </c>
      <c r="J4" t="s">
        <v>80</v>
      </c>
      <c r="L4">
        <v>0</v>
      </c>
      <c r="M4">
        <v>1</v>
      </c>
      <c r="N4" t="s">
        <v>1</v>
      </c>
    </row>
    <row r="5" spans="1:14">
      <c r="A5" t="s">
        <v>2</v>
      </c>
      <c r="B5" t="s">
        <v>78</v>
      </c>
      <c r="C5">
        <v>10</v>
      </c>
      <c r="D5" t="s">
        <v>78</v>
      </c>
      <c r="E5">
        <v>1</v>
      </c>
      <c r="F5">
        <v>1</v>
      </c>
      <c r="G5">
        <v>1</v>
      </c>
      <c r="H5" t="s">
        <v>81</v>
      </c>
      <c r="I5">
        <v>0</v>
      </c>
      <c r="J5" t="s">
        <v>82</v>
      </c>
      <c r="L5">
        <v>0</v>
      </c>
      <c r="M5">
        <v>2</v>
      </c>
      <c r="N5" t="s">
        <v>1</v>
      </c>
    </row>
    <row r="6" spans="1:14">
      <c r="A6" t="s">
        <v>2</v>
      </c>
      <c r="B6" t="s">
        <v>78</v>
      </c>
      <c r="C6">
        <v>10</v>
      </c>
      <c r="D6" t="s">
        <v>78</v>
      </c>
      <c r="E6">
        <v>1</v>
      </c>
      <c r="F6">
        <v>1</v>
      </c>
      <c r="G6">
        <v>1</v>
      </c>
      <c r="H6" t="s">
        <v>83</v>
      </c>
      <c r="I6">
        <v>0</v>
      </c>
      <c r="J6" t="s">
        <v>84</v>
      </c>
      <c r="L6">
        <v>0</v>
      </c>
      <c r="M6">
        <v>3</v>
      </c>
      <c r="N6" t="s">
        <v>1</v>
      </c>
    </row>
    <row r="7" spans="1:14">
      <c r="A7" t="s">
        <v>6</v>
      </c>
      <c r="B7" t="s">
        <v>74</v>
      </c>
      <c r="C7">
        <v>16</v>
      </c>
      <c r="D7" t="s">
        <v>74</v>
      </c>
      <c r="E7">
        <v>2</v>
      </c>
      <c r="F7">
        <v>1</v>
      </c>
      <c r="G7">
        <v>2</v>
      </c>
      <c r="H7" t="s">
        <v>85</v>
      </c>
      <c r="I7">
        <v>0</v>
      </c>
      <c r="J7" t="s">
        <v>86</v>
      </c>
      <c r="L7">
        <v>0</v>
      </c>
      <c r="M7">
        <v>1</v>
      </c>
      <c r="N7" t="s">
        <v>5</v>
      </c>
    </row>
    <row r="8" spans="1:14">
      <c r="A8" t="s">
        <v>6</v>
      </c>
      <c r="B8" t="s">
        <v>74</v>
      </c>
      <c r="C8">
        <v>16</v>
      </c>
      <c r="D8" t="s">
        <v>74</v>
      </c>
      <c r="E8">
        <v>2</v>
      </c>
      <c r="F8">
        <v>1</v>
      </c>
      <c r="G8">
        <v>2</v>
      </c>
      <c r="H8" t="s">
        <v>87</v>
      </c>
      <c r="I8">
        <v>0</v>
      </c>
      <c r="J8" t="s">
        <v>88</v>
      </c>
      <c r="L8">
        <v>0</v>
      </c>
      <c r="M8">
        <v>2</v>
      </c>
      <c r="N8" t="s">
        <v>5</v>
      </c>
    </row>
    <row r="9" spans="1:14">
      <c r="A9" t="s">
        <v>6</v>
      </c>
      <c r="B9" t="s">
        <v>74</v>
      </c>
      <c r="C9">
        <v>16</v>
      </c>
      <c r="D9" t="s">
        <v>74</v>
      </c>
      <c r="E9">
        <v>2</v>
      </c>
      <c r="F9">
        <v>1</v>
      </c>
      <c r="G9">
        <v>2</v>
      </c>
      <c r="H9" t="s">
        <v>26</v>
      </c>
      <c r="I9">
        <v>0</v>
      </c>
      <c r="J9" t="s">
        <v>89</v>
      </c>
      <c r="L9">
        <v>0</v>
      </c>
      <c r="M9">
        <v>3</v>
      </c>
      <c r="N9" t="s">
        <v>5</v>
      </c>
    </row>
    <row r="10" spans="1:14">
      <c r="A10" t="s">
        <v>6</v>
      </c>
      <c r="B10" t="s">
        <v>78</v>
      </c>
      <c r="C10">
        <v>23</v>
      </c>
      <c r="D10" t="s">
        <v>78</v>
      </c>
      <c r="E10">
        <v>2</v>
      </c>
      <c r="F10">
        <v>1</v>
      </c>
      <c r="G10">
        <v>2</v>
      </c>
      <c r="H10" t="s">
        <v>79</v>
      </c>
      <c r="I10">
        <v>0</v>
      </c>
      <c r="J10" t="s">
        <v>90</v>
      </c>
      <c r="L10">
        <v>0</v>
      </c>
      <c r="M10">
        <v>1</v>
      </c>
      <c r="N10" t="s">
        <v>5</v>
      </c>
    </row>
    <row r="11" spans="1:14">
      <c r="A11" t="s">
        <v>6</v>
      </c>
      <c r="B11" t="s">
        <v>78</v>
      </c>
      <c r="C11">
        <v>23</v>
      </c>
      <c r="D11" t="s">
        <v>78</v>
      </c>
      <c r="E11">
        <v>2</v>
      </c>
      <c r="F11">
        <v>1</v>
      </c>
      <c r="G11">
        <v>2</v>
      </c>
      <c r="H11" t="s">
        <v>83</v>
      </c>
      <c r="I11">
        <v>0</v>
      </c>
      <c r="J11" t="s">
        <v>91</v>
      </c>
      <c r="L11">
        <v>0</v>
      </c>
      <c r="M11">
        <v>2</v>
      </c>
      <c r="N11" t="s">
        <v>5</v>
      </c>
    </row>
    <row r="12" spans="1:14">
      <c r="A12" t="s">
        <v>10</v>
      </c>
      <c r="B12" t="s">
        <v>74</v>
      </c>
      <c r="C12">
        <v>29</v>
      </c>
      <c r="D12" t="s">
        <v>74</v>
      </c>
      <c r="E12">
        <v>4</v>
      </c>
      <c r="F12">
        <v>1</v>
      </c>
      <c r="G12">
        <v>4</v>
      </c>
      <c r="H12" t="s">
        <v>18</v>
      </c>
      <c r="I12">
        <v>0</v>
      </c>
      <c r="J12" t="s">
        <v>92</v>
      </c>
      <c r="L12">
        <v>0</v>
      </c>
      <c r="M12">
        <v>1</v>
      </c>
      <c r="N12" t="s">
        <v>9</v>
      </c>
    </row>
    <row r="13" spans="1:14">
      <c r="A13" t="s">
        <v>10</v>
      </c>
      <c r="B13" t="s">
        <v>78</v>
      </c>
      <c r="C13">
        <v>36</v>
      </c>
      <c r="D13" t="s">
        <v>78</v>
      </c>
      <c r="E13">
        <v>4</v>
      </c>
      <c r="F13">
        <v>1</v>
      </c>
      <c r="G13">
        <v>4</v>
      </c>
      <c r="H13" t="s">
        <v>79</v>
      </c>
      <c r="I13">
        <v>0</v>
      </c>
      <c r="J13" t="s">
        <v>93</v>
      </c>
      <c r="L13">
        <v>0</v>
      </c>
      <c r="M13">
        <v>1</v>
      </c>
      <c r="N13" t="s">
        <v>9</v>
      </c>
    </row>
    <row r="14" spans="1:14">
      <c r="A14" t="s">
        <v>10</v>
      </c>
      <c r="B14" t="s">
        <v>78</v>
      </c>
      <c r="C14">
        <v>36</v>
      </c>
      <c r="D14" t="s">
        <v>78</v>
      </c>
      <c r="E14">
        <v>4</v>
      </c>
      <c r="F14">
        <v>1</v>
      </c>
      <c r="G14">
        <v>4</v>
      </c>
      <c r="H14" t="s">
        <v>81</v>
      </c>
      <c r="I14">
        <v>0</v>
      </c>
      <c r="J14" t="s">
        <v>94</v>
      </c>
      <c r="L14">
        <v>0</v>
      </c>
      <c r="M14">
        <v>2</v>
      </c>
      <c r="N14" t="s">
        <v>9</v>
      </c>
    </row>
    <row r="15" spans="1:14">
      <c r="A15" t="s">
        <v>10</v>
      </c>
      <c r="B15" t="s">
        <v>78</v>
      </c>
      <c r="C15">
        <v>36</v>
      </c>
      <c r="D15" t="s">
        <v>78</v>
      </c>
      <c r="E15">
        <v>4</v>
      </c>
      <c r="F15">
        <v>1</v>
      </c>
      <c r="G15">
        <v>4</v>
      </c>
      <c r="H15" t="s">
        <v>83</v>
      </c>
      <c r="I15">
        <v>0</v>
      </c>
      <c r="J15" t="s">
        <v>95</v>
      </c>
      <c r="L15">
        <v>0</v>
      </c>
      <c r="M15">
        <v>3</v>
      </c>
      <c r="N15" t="s">
        <v>9</v>
      </c>
    </row>
    <row r="16" spans="1:14">
      <c r="A16" t="s">
        <v>10</v>
      </c>
      <c r="B16" t="s">
        <v>78</v>
      </c>
      <c r="C16">
        <v>36</v>
      </c>
      <c r="D16" t="s">
        <v>78</v>
      </c>
      <c r="E16">
        <v>4</v>
      </c>
      <c r="F16">
        <v>1</v>
      </c>
      <c r="G16">
        <v>4</v>
      </c>
      <c r="H16" t="s">
        <v>96</v>
      </c>
      <c r="I16">
        <v>0</v>
      </c>
      <c r="J16" t="s">
        <v>97</v>
      </c>
      <c r="L16">
        <v>0</v>
      </c>
      <c r="M16">
        <v>4</v>
      </c>
      <c r="N16" t="s">
        <v>9</v>
      </c>
    </row>
    <row r="17" spans="1:14">
      <c r="A17" t="s">
        <v>14</v>
      </c>
      <c r="B17" t="s">
        <v>78</v>
      </c>
      <c r="C17">
        <v>10</v>
      </c>
      <c r="D17" t="s">
        <v>78</v>
      </c>
      <c r="E17">
        <v>1</v>
      </c>
      <c r="F17">
        <v>1</v>
      </c>
      <c r="G17">
        <v>1</v>
      </c>
      <c r="H17" t="s">
        <v>79</v>
      </c>
      <c r="I17">
        <v>0</v>
      </c>
      <c r="J17" t="s">
        <v>80</v>
      </c>
      <c r="L17">
        <v>0</v>
      </c>
      <c r="M17">
        <v>1</v>
      </c>
      <c r="N17" t="s">
        <v>13</v>
      </c>
    </row>
    <row r="18" spans="1:14">
      <c r="A18" t="s">
        <v>14</v>
      </c>
      <c r="B18" t="s">
        <v>78</v>
      </c>
      <c r="C18">
        <v>10</v>
      </c>
      <c r="D18" t="s">
        <v>78</v>
      </c>
      <c r="E18">
        <v>1</v>
      </c>
      <c r="F18">
        <v>1</v>
      </c>
      <c r="G18">
        <v>1</v>
      </c>
      <c r="H18" t="s">
        <v>81</v>
      </c>
      <c r="I18">
        <v>0</v>
      </c>
      <c r="J18" t="s">
        <v>82</v>
      </c>
      <c r="L18">
        <v>0</v>
      </c>
      <c r="M18">
        <v>2</v>
      </c>
      <c r="N18" t="s">
        <v>13</v>
      </c>
    </row>
    <row r="19" spans="1:14">
      <c r="A19" t="s">
        <v>14</v>
      </c>
      <c r="B19" t="s">
        <v>78</v>
      </c>
      <c r="C19">
        <v>10</v>
      </c>
      <c r="D19" t="s">
        <v>78</v>
      </c>
      <c r="E19">
        <v>1</v>
      </c>
      <c r="F19">
        <v>1</v>
      </c>
      <c r="G19">
        <v>1</v>
      </c>
      <c r="H19" t="s">
        <v>83</v>
      </c>
      <c r="I19">
        <v>0</v>
      </c>
      <c r="J19" t="s">
        <v>84</v>
      </c>
      <c r="L19">
        <v>0</v>
      </c>
      <c r="M19">
        <v>3</v>
      </c>
      <c r="N19" t="s">
        <v>13</v>
      </c>
    </row>
    <row r="22" spans="1:14">
      <c r="B22" t="s">
        <v>164</v>
      </c>
      <c r="D22" t="s">
        <v>164</v>
      </c>
      <c r="E22">
        <v>1</v>
      </c>
      <c r="F22">
        <v>1</v>
      </c>
      <c r="G22">
        <v>1</v>
      </c>
      <c r="H22" s="3" t="s">
        <v>154</v>
      </c>
    </row>
    <row r="23" spans="1:14">
      <c r="B23" t="s">
        <v>164</v>
      </c>
      <c r="D23" t="s">
        <v>164</v>
      </c>
      <c r="E23">
        <v>1</v>
      </c>
      <c r="F23">
        <v>1</v>
      </c>
      <c r="G23">
        <v>1</v>
      </c>
      <c r="H23" s="3" t="s">
        <v>155</v>
      </c>
    </row>
    <row r="24" spans="1:14">
      <c r="B24" t="s">
        <v>164</v>
      </c>
      <c r="D24" t="s">
        <v>164</v>
      </c>
      <c r="E24">
        <v>1</v>
      </c>
      <c r="F24">
        <v>1</v>
      </c>
      <c r="G24">
        <v>1</v>
      </c>
      <c r="H24" s="3" t="s">
        <v>156</v>
      </c>
    </row>
    <row r="25" spans="1:14">
      <c r="B25" t="s">
        <v>164</v>
      </c>
      <c r="D25" t="s">
        <v>164</v>
      </c>
      <c r="E25">
        <v>1</v>
      </c>
      <c r="F25">
        <v>1</v>
      </c>
      <c r="G25">
        <v>1</v>
      </c>
      <c r="H25" s="3" t="s">
        <v>157</v>
      </c>
    </row>
    <row r="26" spans="1:14">
      <c r="B26" t="s">
        <v>164</v>
      </c>
      <c r="D26" t="s">
        <v>164</v>
      </c>
      <c r="E26">
        <v>1</v>
      </c>
      <c r="F26">
        <v>1</v>
      </c>
      <c r="G26">
        <v>1</v>
      </c>
      <c r="H26" s="3" t="s">
        <v>158</v>
      </c>
    </row>
    <row r="27" spans="1:14">
      <c r="B27" t="s">
        <v>164</v>
      </c>
      <c r="D27" t="s">
        <v>164</v>
      </c>
      <c r="E27">
        <v>1</v>
      </c>
      <c r="F27">
        <v>1</v>
      </c>
      <c r="G27">
        <v>1</v>
      </c>
      <c r="H27" s="3" t="s">
        <v>159</v>
      </c>
    </row>
    <row r="28" spans="1:14">
      <c r="B28" t="s">
        <v>74</v>
      </c>
      <c r="D28" t="s">
        <v>74</v>
      </c>
      <c r="H28" s="3" t="s">
        <v>165</v>
      </c>
    </row>
    <row r="29" spans="1:14">
      <c r="B29" t="s">
        <v>74</v>
      </c>
      <c r="D29" t="s">
        <v>74</v>
      </c>
      <c r="H29" s="3" t="s">
        <v>166</v>
      </c>
    </row>
    <row r="30" spans="1:14">
      <c r="B30" t="s">
        <v>78</v>
      </c>
      <c r="D30" t="s">
        <v>78</v>
      </c>
      <c r="H30" s="3" t="s">
        <v>160</v>
      </c>
    </row>
    <row r="31" spans="1:14">
      <c r="B31" t="s">
        <v>78</v>
      </c>
      <c r="D31" t="s">
        <v>78</v>
      </c>
      <c r="H31" s="3" t="s">
        <v>161</v>
      </c>
    </row>
    <row r="32" spans="1:14">
      <c r="B32" t="s">
        <v>78</v>
      </c>
      <c r="D32" t="s">
        <v>78</v>
      </c>
      <c r="H32" s="3" t="s">
        <v>162</v>
      </c>
    </row>
    <row r="33" spans="2:8">
      <c r="B33" t="s">
        <v>78</v>
      </c>
      <c r="D33" t="s">
        <v>78</v>
      </c>
      <c r="H33" s="3" t="s">
        <v>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Productos</vt:lpstr>
      <vt:lpstr>Opcionales</vt:lpstr>
      <vt:lpstr>Opcionales!py_fa_options_20251126</vt:lpstr>
      <vt:lpstr>Productos!py_fa_products_20251126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Alexey Hereira Aguilera</dc:creator>
  <cp:lastModifiedBy>Acer</cp:lastModifiedBy>
  <dcterms:created xsi:type="dcterms:W3CDTF">2025-11-26T17:06:27Z</dcterms:created>
  <dcterms:modified xsi:type="dcterms:W3CDTF">2025-12-05T16:27:25Z</dcterms:modified>
</cp:coreProperties>
</file>